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ocuments\SIR_Personal_Dell\Work_efficiency_and_related\"/>
    </mc:Choice>
  </mc:AlternateContent>
  <xr:revisionPtr revIDLastSave="0" documentId="8_{956E63D4-781C-4337-AB99-EEC036907A0E}" xr6:coauthVersionLast="47" xr6:coauthVersionMax="47" xr10:uidLastSave="{00000000-0000-0000-0000-000000000000}"/>
  <bookViews>
    <workbookView xWindow="-120" yWindow="-120" windowWidth="29040" windowHeight="15840" xr2:uid="{91003746-A58B-44C5-8EE8-AC7AE0B4A08F}"/>
  </bookViews>
  <sheets>
    <sheet name="Sum" sheetId="1" r:id="rId1"/>
    <sheet name="Profit" sheetId="5" r:id="rId2"/>
    <sheet name="Vlookup &amp; Index Match" sheetId="3" r:id="rId3"/>
    <sheet name="Left &amp; Find" sheetId="4" r:id="rId4"/>
    <sheet name="Unique Count" sheetId="6" r:id="rId5"/>
    <sheet name="Macro" sheetId="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6" l="1" a="1"/>
  <c r="D1" i="6" s="1"/>
  <c r="B2" i="4"/>
  <c r="B3" i="4"/>
  <c r="B4" i="4"/>
  <c r="B5" i="4"/>
  <c r="E2" i="3"/>
  <c r="C2" i="5"/>
  <c r="B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<sst xmlns="http://schemas.openxmlformats.org/spreadsheetml/2006/main" count="44" uniqueCount="36">
  <si>
    <t>Market</t>
  </si>
  <si>
    <t>Revenue</t>
  </si>
  <si>
    <t>United States</t>
  </si>
  <si>
    <t>India</t>
  </si>
  <si>
    <t>United Kingdom</t>
  </si>
  <si>
    <t>Philippines</t>
  </si>
  <si>
    <t>Canada</t>
  </si>
  <si>
    <t>Australia</t>
  </si>
  <si>
    <t>Malaysia</t>
  </si>
  <si>
    <t>Pakistan</t>
  </si>
  <si>
    <t>Germany</t>
  </si>
  <si>
    <t>Bangladesh</t>
  </si>
  <si>
    <t>Total Revenue</t>
  </si>
  <si>
    <t>Cost</t>
  </si>
  <si>
    <t>Profit</t>
  </si>
  <si>
    <t>Cookie Type</t>
  </si>
  <si>
    <t>Price</t>
  </si>
  <si>
    <t>Oatmeal Raisin</t>
  </si>
  <si>
    <t>Sugar Cookie</t>
  </si>
  <si>
    <t>Chocolate Chip</t>
  </si>
  <si>
    <t>Email Address</t>
  </si>
  <si>
    <t>First Name</t>
  </si>
  <si>
    <t>kevin@kevincookiecompany.com</t>
  </si>
  <si>
    <t>jim@kevincookiecompany.com</t>
  </si>
  <si>
    <t>nancy@msn.com</t>
  </si>
  <si>
    <t>bill@live.com</t>
  </si>
  <si>
    <t>Cookie Types</t>
  </si>
  <si>
    <t>Unique Count:</t>
  </si>
  <si>
    <t>Snickerdoodle</t>
  </si>
  <si>
    <t>Gingersnaps</t>
  </si>
  <si>
    <t>Sriracha Mint</t>
  </si>
  <si>
    <t>Shortbread cookies</t>
  </si>
  <si>
    <t>Peanut Butter Cookies</t>
  </si>
  <si>
    <t>Amount Due</t>
  </si>
  <si>
    <t>admin@kevstrat.onmicrosoft.com</t>
  </si>
  <si>
    <t>kevinstratvertyoutube@outlook.com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</si>
</sst>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74151"/>
      <name val="Segoe UI"/>
      <family val="2"/>
    </font>
    <font>
      <b/>
      <sz val="12"/>
      <color rgb="FF374151"/>
      <name val="Segoe UI"/>
      <family val="2"/>
    </font>
    <font>
      <sz val="12"/>
      <color rgb="FF35374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2"/>
    <xf numFmtId="44" fontId="0" fillId="0" borderId="0" xfId="1" applyFont="1"/>
    <xf numFmtId="164" fontId="0" fillId="0" borderId="0" xfId="1" applyNumberFormat="1" applyFont="1"/>
    <xf numFmtId="164" fontId="4" fillId="0" borderId="0" xfId="1" applyNumberFormat="1" applyFont="1"/>
    <xf numFmtId="0" fontId="2" fillId="2" borderId="0" xfId="0" applyFont="1" applyFill="1"/>
    <xf numFmtId="0" fontId="5" fillId="2" borderId="0" xfId="0" applyFont="1" applyFill="1"/>
    <xf numFmtId="0" fontId="2" fillId="3" borderId="1" xfId="0" applyFont="1" applyFill="1" applyBorder="1" applyAlignment="1">
      <alignment horizontal="right"/>
    </xf>
    <xf numFmtId="0" fontId="0" fillId="4" borderId="0" xfId="0" applyFill="1"/>
    <xf numFmtId="164" fontId="0" fillId="0" borderId="1" xfId="1" applyNumberFormat="1" applyFont="1" applyBorder="1"/>
    <xf numFmtId="164" fontId="0" fillId="0" borderId="1" xfId="0" applyNumberFormat="1" applyBorder="1"/>
    <xf numFmtId="0" fontId="2" fillId="4" borderId="0" xfId="0" applyFont="1" applyFill="1"/>
    <xf numFmtId="0" fontId="0" fillId="4" borderId="1" xfId="0" applyFill="1" applyBorder="1"/>
    <xf numFmtId="0" fontId="2" fillId="0" borderId="0" xfId="0" applyFont="1"/>
    <xf numFmtId="0" fontId="0" fillId="5" borderId="0" xfId="0" applyFill="1"/>
    <xf numFmtId="0" fontId="2" fillId="4" borderId="1" xfId="0" applyFont="1" applyFill="1" applyBorder="1"/>
    <xf numFmtId="0" fontId="6" fillId="3" borderId="0" xfId="0" applyFont="1" applyFill="1"/>
    <xf numFmtId="164" fontId="4" fillId="0" borderId="0" xfId="0" applyNumberFormat="1" applyFont="1"/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jim@kevincookiecompany.com" TargetMode="External"/><Relationship Id="rId2" Type="http://schemas.openxmlformats.org/officeDocument/2006/relationships/hyperlink" Target="mailto:nancy@msn.com" TargetMode="External"/><Relationship Id="rId1" Type="http://schemas.openxmlformats.org/officeDocument/2006/relationships/hyperlink" Target="mailto:bill@live.com" TargetMode="External"/><Relationship Id="rId4" Type="http://schemas.openxmlformats.org/officeDocument/2006/relationships/hyperlink" Target="mailto:kevin@kevincookiecompany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kevinstratvertyoutube@outlook.com" TargetMode="External"/><Relationship Id="rId1" Type="http://schemas.openxmlformats.org/officeDocument/2006/relationships/hyperlink" Target="mailto:admin@kevstrat.onmicrosof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A926B-B3E7-4FB1-9019-F6030B816326}">
  <sheetPr codeName="Sheet1"/>
  <dimension ref="A1:B12"/>
  <sheetViews>
    <sheetView tabSelected="1" zoomScale="145" zoomScaleNormal="145" workbookViewId="0"/>
  </sheetViews>
  <sheetFormatPr baseColWidth="10" defaultColWidth="9.140625" defaultRowHeight="15" x14ac:dyDescent="0.25"/>
  <cols>
    <col min="1" max="1" width="31.42578125" bestFit="1" customWidth="1"/>
    <col min="2" max="2" width="19.7109375" customWidth="1"/>
  </cols>
  <sheetData>
    <row r="1" spans="1:2" ht="17.25" x14ac:dyDescent="0.3">
      <c r="A1" s="5" t="s">
        <v>0</v>
      </c>
      <c r="B1" s="6" t="s">
        <v>1</v>
      </c>
    </row>
    <row r="2" spans="1:2" ht="17.25" x14ac:dyDescent="0.3">
      <c r="A2" t="s">
        <v>2</v>
      </c>
      <c r="B2" s="4">
        <v>819817913</v>
      </c>
    </row>
    <row r="3" spans="1:2" ht="17.25" x14ac:dyDescent="0.3">
      <c r="A3" t="s">
        <v>3</v>
      </c>
      <c r="B3" s="4">
        <v>802058780</v>
      </c>
    </row>
    <row r="4" spans="1:2" ht="17.25" x14ac:dyDescent="0.3">
      <c r="A4" t="s">
        <v>4</v>
      </c>
      <c r="B4" s="4">
        <v>714095604</v>
      </c>
    </row>
    <row r="5" spans="1:2" ht="17.25" x14ac:dyDescent="0.3">
      <c r="A5" t="s">
        <v>5</v>
      </c>
      <c r="B5" s="4">
        <v>592876988</v>
      </c>
    </row>
    <row r="6" spans="1:2" ht="17.25" x14ac:dyDescent="0.3">
      <c r="A6" t="s">
        <v>6</v>
      </c>
      <c r="B6" s="4">
        <v>539991043</v>
      </c>
    </row>
    <row r="7" spans="1:2" ht="17.25" x14ac:dyDescent="0.3">
      <c r="A7" t="s">
        <v>7</v>
      </c>
      <c r="B7" s="4">
        <v>525814985</v>
      </c>
    </row>
    <row r="8" spans="1:2" ht="17.25" x14ac:dyDescent="0.3">
      <c r="A8" t="s">
        <v>8</v>
      </c>
      <c r="B8" s="4">
        <v>377361040</v>
      </c>
    </row>
    <row r="9" spans="1:2" ht="17.25" x14ac:dyDescent="0.3">
      <c r="A9" t="s">
        <v>9</v>
      </c>
      <c r="B9" s="4">
        <v>281544590</v>
      </c>
    </row>
    <row r="10" spans="1:2" ht="17.25" x14ac:dyDescent="0.3">
      <c r="A10" t="s">
        <v>10</v>
      </c>
      <c r="B10" s="4">
        <v>194513102</v>
      </c>
    </row>
    <row r="11" spans="1:2" ht="17.25" x14ac:dyDescent="0.3">
      <c r="A11" t="s">
        <v>11</v>
      </c>
      <c r="B11" s="4">
        <v>108862210</v>
      </c>
    </row>
    <row r="12" spans="1:2" ht="18" thickBot="1" x14ac:dyDescent="0.35">
      <c r="A12" s="7" t="s">
        <v>12</v>
      </c>
      <c r="B12" s="17">
        <f>SUM(B2:B10)</f>
        <v>4848074045</v>
      </c>
    </row>
  </sheetData>
  <sortState xmlns:xlrd2="http://schemas.microsoft.com/office/spreadsheetml/2017/richdata2" ref="B2:B11">
    <sortCondition descending="1" ref="B2:B1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A1A89-D547-4E33-B4C6-1D2825F27761}">
  <sheetPr codeName="Sheet3"/>
  <dimension ref="A1:C2"/>
  <sheetViews>
    <sheetView zoomScale="265" zoomScaleNormal="265" workbookViewId="0"/>
  </sheetViews>
  <sheetFormatPr baseColWidth="10" defaultColWidth="9.140625" defaultRowHeight="15" x14ac:dyDescent="0.25"/>
  <cols>
    <col min="1" max="1" width="18" bestFit="1" customWidth="1"/>
    <col min="2" max="2" width="15.28515625" customWidth="1"/>
    <col min="3" max="3" width="19.42578125" customWidth="1"/>
  </cols>
  <sheetData>
    <row r="1" spans="1:3" x14ac:dyDescent="0.25">
      <c r="A1" s="8" t="s">
        <v>1</v>
      </c>
      <c r="B1" s="8" t="s">
        <v>13</v>
      </c>
      <c r="C1" s="8" t="s">
        <v>14</v>
      </c>
    </row>
    <row r="2" spans="1:3" ht="18" thickBot="1" x14ac:dyDescent="0.35">
      <c r="A2" s="9">
        <v>4956936255</v>
      </c>
      <c r="B2" s="10">
        <v>1652312085</v>
      </c>
      <c r="C2" s="17">
        <f>A2-B2</f>
        <v>3304624170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33231-2550-4FB3-87EB-086030609A5D}">
  <sheetPr codeName="Sheet4"/>
  <dimension ref="A1:E4"/>
  <sheetViews>
    <sheetView zoomScale="250" zoomScaleNormal="250" workbookViewId="0"/>
  </sheetViews>
  <sheetFormatPr baseColWidth="10" defaultColWidth="9.140625" defaultRowHeight="15" x14ac:dyDescent="0.25"/>
  <cols>
    <col min="1" max="1" width="14.42578125" bestFit="1" customWidth="1"/>
    <col min="3" max="3" width="3.28515625" customWidth="1"/>
    <col min="4" max="5" width="12.42578125" bestFit="1" customWidth="1"/>
  </cols>
  <sheetData>
    <row r="1" spans="1:5" x14ac:dyDescent="0.25">
      <c r="A1" s="11" t="s">
        <v>15</v>
      </c>
      <c r="B1" s="11" t="s">
        <v>16</v>
      </c>
      <c r="E1" s="13" t="s">
        <v>16</v>
      </c>
    </row>
    <row r="2" spans="1:5" x14ac:dyDescent="0.25">
      <c r="A2" t="s">
        <v>17</v>
      </c>
      <c r="B2" s="2">
        <v>4</v>
      </c>
      <c r="D2" s="13" t="s">
        <v>18</v>
      </c>
      <c r="E2" s="14">
        <f>VLOOKUP("Sugar Cookie",A1:B4,2,FALSE)</f>
        <v>3</v>
      </c>
    </row>
    <row r="3" spans="1:5" x14ac:dyDescent="0.25">
      <c r="A3" t="s">
        <v>18</v>
      </c>
      <c r="B3" s="2">
        <v>3</v>
      </c>
    </row>
    <row r="4" spans="1:5" x14ac:dyDescent="0.25">
      <c r="A4" t="s">
        <v>19</v>
      </c>
      <c r="B4" s="2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652AF-8779-42EE-B032-66D0F74541B1}">
  <sheetPr codeName="Sheet5"/>
  <dimension ref="A1:B5"/>
  <sheetViews>
    <sheetView zoomScale="235" zoomScaleNormal="235" workbookViewId="0"/>
  </sheetViews>
  <sheetFormatPr baseColWidth="10" defaultColWidth="9.140625" defaultRowHeight="15" x14ac:dyDescent="0.25"/>
  <cols>
    <col min="1" max="1" width="31.42578125" bestFit="1" customWidth="1"/>
    <col min="2" max="2" width="11.28515625" customWidth="1"/>
  </cols>
  <sheetData>
    <row r="1" spans="1:2" x14ac:dyDescent="0.25">
      <c r="A1" t="s">
        <v>20</v>
      </c>
      <c r="B1" s="13" t="s">
        <v>21</v>
      </c>
    </row>
    <row r="2" spans="1:2" x14ac:dyDescent="0.25">
      <c r="A2" s="1" t="s">
        <v>22</v>
      </c>
      <c r="B2" s="14" t="str">
        <f t="shared" ref="B2:B5" si="0">LEFT(A2,FIND("@",A2)-1)</f>
        <v>kevin</v>
      </c>
    </row>
    <row r="3" spans="1:2" x14ac:dyDescent="0.25">
      <c r="A3" s="1" t="s">
        <v>23</v>
      </c>
      <c r="B3" s="14" t="str">
        <f t="shared" si="0"/>
        <v>jim</v>
      </c>
    </row>
    <row r="4" spans="1:2" x14ac:dyDescent="0.25">
      <c r="A4" s="1" t="s">
        <v>24</v>
      </c>
      <c r="B4" s="14" t="str">
        <f t="shared" si="0"/>
        <v>nancy</v>
      </c>
    </row>
    <row r="5" spans="1:2" x14ac:dyDescent="0.25">
      <c r="A5" s="1" t="s">
        <v>25</v>
      </c>
      <c r="B5" s="14" t="str">
        <f t="shared" si="0"/>
        <v>bill</v>
      </c>
    </row>
  </sheetData>
  <hyperlinks>
    <hyperlink ref="A5" r:id="rId1" xr:uid="{4B94FDEF-BBA7-4746-B61E-8890DC83CEE0}"/>
    <hyperlink ref="A4" r:id="rId2" xr:uid="{44F5E77A-BE83-4CD3-A538-DF25F8828058}"/>
    <hyperlink ref="A3" r:id="rId3" xr:uid="{7F6D8EF6-A40E-400B-A59A-9537AC6ABE13}"/>
    <hyperlink ref="A2" r:id="rId4" xr:uid="{FE7124AC-36D0-44C5-80B8-180866FDD7B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58535-701E-4D4F-B19E-C844B1B6315F}">
  <sheetPr codeName="Sheet6"/>
  <dimension ref="A1:D10"/>
  <sheetViews>
    <sheetView zoomScale="325" zoomScaleNormal="325" workbookViewId="0"/>
  </sheetViews>
  <sheetFormatPr baseColWidth="10" defaultColWidth="9.140625" defaultRowHeight="15" x14ac:dyDescent="0.25"/>
  <cols>
    <col min="1" max="1" width="21" bestFit="1" customWidth="1"/>
    <col min="3" max="3" width="13.85546875" bestFit="1" customWidth="1"/>
  </cols>
  <sheetData>
    <row r="1" spans="1:4" ht="16.5" thickBot="1" x14ac:dyDescent="0.3">
      <c r="A1" s="12" t="s">
        <v>26</v>
      </c>
      <c r="C1" s="13" t="s">
        <v>27</v>
      </c>
      <c r="D1" s="16" cm="1">
        <f t="array" ref="D1">SUM(1/COUNTIF(A2:A10,A2:A10))</f>
        <v>6.9999999999999991</v>
      </c>
    </row>
    <row r="2" spans="1:4" x14ac:dyDescent="0.25">
      <c r="A2" t="s">
        <v>19</v>
      </c>
    </row>
    <row r="3" spans="1:4" x14ac:dyDescent="0.25">
      <c r="A3" t="s">
        <v>17</v>
      </c>
    </row>
    <row r="4" spans="1:4" x14ac:dyDescent="0.25">
      <c r="A4" t="s">
        <v>19</v>
      </c>
    </row>
    <row r="5" spans="1:4" x14ac:dyDescent="0.25">
      <c r="A5" t="s">
        <v>28</v>
      </c>
    </row>
    <row r="6" spans="1:4" x14ac:dyDescent="0.25">
      <c r="A6" t="s">
        <v>29</v>
      </c>
    </row>
    <row r="7" spans="1:4" x14ac:dyDescent="0.25">
      <c r="A7" t="s">
        <v>30</v>
      </c>
    </row>
    <row r="8" spans="1:4" x14ac:dyDescent="0.25">
      <c r="A8" t="s">
        <v>31</v>
      </c>
    </row>
    <row r="9" spans="1:4" x14ac:dyDescent="0.25">
      <c r="A9" t="s">
        <v>32</v>
      </c>
    </row>
    <row r="10" spans="1:4" x14ac:dyDescent="0.25">
      <c r="A10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12D7F-0C14-49BD-9DB8-41E64041AF0C}">
  <sheetPr codeName="Sheet2"/>
  <dimension ref="A1:B3"/>
  <sheetViews>
    <sheetView zoomScale="175" zoomScaleNormal="175" workbookViewId="0"/>
  </sheetViews>
  <sheetFormatPr baseColWidth="10" defaultColWidth="9.140625" defaultRowHeight="15" x14ac:dyDescent="0.25"/>
  <cols>
    <col min="1" max="1" width="18.5703125" customWidth="1"/>
    <col min="2" max="2" width="34.7109375" bestFit="1" customWidth="1"/>
    <col min="9" max="9" width="14.42578125" bestFit="1" customWidth="1"/>
  </cols>
  <sheetData>
    <row r="1" spans="1:2" ht="15.75" thickBot="1" x14ac:dyDescent="0.3">
      <c r="A1" s="15" t="s">
        <v>33</v>
      </c>
      <c r="B1" s="15" t="s">
        <v>20</v>
      </c>
    </row>
    <row r="2" spans="1:2" x14ac:dyDescent="0.25">
      <c r="A2" s="3">
        <v>99</v>
      </c>
      <c r="B2" s="1" t="s">
        <v>34</v>
      </c>
    </row>
    <row r="3" spans="1:2" x14ac:dyDescent="0.25">
      <c r="A3" s="3">
        <v>80</v>
      </c>
      <c r="B3" s="1" t="s">
        <v>35</v>
      </c>
    </row>
  </sheetData>
  <sortState xmlns:xlrd2="http://schemas.microsoft.com/office/spreadsheetml/2017/richdata2" ref="A1:A7">
    <sortCondition ref="A1:A7"/>
  </sortState>
  <hyperlinks>
    <hyperlink ref="B2" r:id="rId1" xr:uid="{7D6A5A51-EA95-4A54-89FD-5F819C3D2555}"/>
    <hyperlink ref="B3" r:id="rId2" xr:uid="{E0330550-AB0A-4962-8833-EB595311590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Sum</vt:lpstr>
      <vt:lpstr>Profit</vt:lpstr>
      <vt:lpstr>Vlookup &amp; Index Match</vt:lpstr>
      <vt:lpstr>Left &amp; Find</vt:lpstr>
      <vt:lpstr>Unique Count</vt:lpstr>
      <vt:lpstr>Macro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Sergio</cp:lastModifiedBy>
  <cp:revision/>
  <dcterms:created xsi:type="dcterms:W3CDTF">2023-01-10T19:06:53Z</dcterms:created>
  <dcterms:modified xsi:type="dcterms:W3CDTF">2023-03-06T18:01:12Z</dcterms:modified>
  <cp:category/>
  <cp:contentStatus/>
</cp:coreProperties>
</file>